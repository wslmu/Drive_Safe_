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itam.ouakhair\Downloads\"/>
    </mc:Choice>
  </mc:AlternateContent>
  <xr:revisionPtr revIDLastSave="0" documentId="13_ncr:1_{78C7F45C-3E29-4838-8696-03619E172E34}" xr6:coauthVersionLast="47" xr6:coauthVersionMax="47" xr10:uidLastSave="{00000000-0000-0000-0000-000000000000}"/>
  <bookViews>
    <workbookView xWindow="9936" yWindow="0" windowWidth="13200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2" i="1" l="1"/>
  <c r="E55" i="1"/>
  <c r="E51" i="1"/>
  <c r="S86" i="1"/>
  <c r="S72" i="1"/>
  <c r="K59" i="1"/>
  <c r="Q66" i="1"/>
  <c r="D15" i="1"/>
  <c r="G41" i="1"/>
  <c r="F41" i="1"/>
  <c r="E41" i="1"/>
  <c r="F27" i="1"/>
  <c r="F28" i="1"/>
  <c r="M9" i="1"/>
  <c r="M10" i="1"/>
  <c r="M11" i="1"/>
  <c r="R91" i="1"/>
  <c r="Q87" i="1"/>
  <c r="G73" i="1"/>
  <c r="F73" i="1"/>
  <c r="E73" i="1"/>
  <c r="R68" i="1"/>
  <c r="M66" i="1"/>
  <c r="L66" i="1"/>
  <c r="G65" i="1"/>
  <c r="F65" i="1"/>
  <c r="E65" i="1"/>
  <c r="M56" i="1"/>
  <c r="L56" i="1"/>
  <c r="K56" i="1"/>
  <c r="M55" i="1"/>
  <c r="L55" i="1"/>
  <c r="K55" i="1"/>
  <c r="E52" i="1"/>
  <c r="S16" i="1"/>
  <c r="S15" i="1"/>
  <c r="S9" i="1"/>
  <c r="M12" i="1" l="1"/>
  <c r="M13" i="1" s="1"/>
  <c r="S58" i="1"/>
  <c r="S17" i="1"/>
  <c r="D12" i="1" s="1"/>
  <c r="Q71" i="1" s="1"/>
  <c r="G74" i="1"/>
  <c r="F74" i="1"/>
  <c r="E74" i="1"/>
  <c r="U66" i="1"/>
  <c r="T66" i="1"/>
  <c r="S66" i="1"/>
  <c r="M59" i="1"/>
  <c r="G51" i="1" s="1"/>
  <c r="L59" i="1"/>
  <c r="F51" i="1" s="1"/>
  <c r="U58" i="1"/>
  <c r="M74" i="1" s="1"/>
  <c r="T58" i="1"/>
  <c r="L74" i="1" s="1"/>
  <c r="D13" i="1"/>
  <c r="G52" i="1"/>
  <c r="F52" i="1"/>
  <c r="F26" i="1"/>
  <c r="F25" i="1"/>
  <c r="F29" i="1" l="1"/>
  <c r="D10" i="1"/>
  <c r="Q68" i="1" s="1"/>
  <c r="K74" i="1"/>
  <c r="S71" i="1"/>
  <c r="T71" i="1"/>
  <c r="U71" i="1"/>
  <c r="M75" i="1"/>
  <c r="L75" i="1"/>
  <c r="L76" i="1"/>
  <c r="F53" i="1" s="1"/>
  <c r="Q70" i="1"/>
  <c r="J25" i="1" l="1"/>
  <c r="G7" i="1"/>
  <c r="S68" i="1"/>
  <c r="T68" i="1"/>
  <c r="U68" i="1"/>
  <c r="M76" i="1"/>
  <c r="G53" i="1" s="1"/>
  <c r="K75" i="1"/>
  <c r="S70" i="1"/>
  <c r="T70" i="1"/>
  <c r="U70" i="1"/>
  <c r="K76" i="1" l="1"/>
  <c r="E53" i="1" s="1"/>
  <c r="K25" i="1"/>
  <c r="E46" i="1"/>
  <c r="U72" i="1"/>
  <c r="G55" i="1" s="1"/>
  <c r="Q91" i="1"/>
  <c r="T72" i="1"/>
  <c r="F55" i="1" s="1"/>
  <c r="Q83" i="1"/>
  <c r="Q84" i="1" s="1"/>
  <c r="G15" i="1"/>
  <c r="F46" i="1" l="1"/>
  <c r="L25" i="1"/>
  <c r="M25" i="1" s="1"/>
  <c r="G56" i="1"/>
  <c r="F56" i="1"/>
  <c r="E56" i="1"/>
  <c r="E57" i="1" s="1"/>
  <c r="E75" i="1" s="1"/>
  <c r="E76" i="1" s="1"/>
  <c r="Q92" i="1"/>
  <c r="Q93" i="1" s="1"/>
  <c r="G46" i="1" l="1"/>
  <c r="F57" i="1"/>
  <c r="F75" i="1" s="1"/>
  <c r="F76" i="1" s="1"/>
  <c r="E77" i="1"/>
  <c r="G57" i="1" l="1"/>
  <c r="G75" i="1" s="1"/>
  <c r="G76" i="1" s="1"/>
  <c r="F77" i="1"/>
  <c r="E78" i="1"/>
  <c r="R84" i="1" s="1"/>
  <c r="R92" i="1" s="1"/>
  <c r="R93" i="1" s="1"/>
  <c r="F78" i="1" l="1"/>
  <c r="S82" i="1" s="1"/>
  <c r="S84" i="1" s="1"/>
  <c r="G77" i="1"/>
  <c r="S91" i="1" l="1"/>
  <c r="G78" i="1"/>
  <c r="T82" i="1" s="1"/>
  <c r="T84" i="1" s="1"/>
  <c r="S92" i="1" l="1"/>
  <c r="S93" i="1" s="1"/>
  <c r="T86" i="1"/>
  <c r="T91" i="1" s="1"/>
  <c r="T92" i="1" l="1"/>
  <c r="T93" i="1" l="1"/>
</calcChain>
</file>

<file path=xl/sharedStrings.xml><?xml version="1.0" encoding="utf-8"?>
<sst xmlns="http://schemas.openxmlformats.org/spreadsheetml/2006/main" count="155" uniqueCount="114">
  <si>
    <t>Billan d'ouverture</t>
  </si>
  <si>
    <t>Actif</t>
  </si>
  <si>
    <t>Passif</t>
  </si>
  <si>
    <t>Brevets, marques, droits et valeurs similaires</t>
  </si>
  <si>
    <t>Matériel bureau</t>
  </si>
  <si>
    <t>Immobilisation en non valeur</t>
  </si>
  <si>
    <t>capital</t>
  </si>
  <si>
    <t>Frais préliminaire</t>
  </si>
  <si>
    <t>Element</t>
  </si>
  <si>
    <t>Qte</t>
  </si>
  <si>
    <t>PU</t>
  </si>
  <si>
    <t>PU * Qte</t>
  </si>
  <si>
    <t>Immobilisation incorporelle</t>
  </si>
  <si>
    <t>bureau</t>
  </si>
  <si>
    <t>Immobilisation corporelle</t>
  </si>
  <si>
    <t>Matériel informatique</t>
  </si>
  <si>
    <t>matériel informatique</t>
  </si>
  <si>
    <t>matériel bureau</t>
  </si>
  <si>
    <t>Total</t>
  </si>
  <si>
    <t>PC</t>
  </si>
  <si>
    <t>Ecran</t>
  </si>
  <si>
    <t>Le Plan opérationnel</t>
  </si>
  <si>
    <t>Estimation du chiffre d’affaires</t>
  </si>
  <si>
    <t>Augmentation du chiffre d’affaires</t>
  </si>
  <si>
    <t>Service</t>
  </si>
  <si>
    <t>Qte Vendu</t>
  </si>
  <si>
    <t>PU * Qte Vendu</t>
  </si>
  <si>
    <t>Augmentation prévu</t>
  </si>
  <si>
    <t>CA</t>
  </si>
  <si>
    <t>Compte de résultat</t>
  </si>
  <si>
    <t>Année</t>
  </si>
  <si>
    <t>Exploitation</t>
  </si>
  <si>
    <t xml:space="preserve">1-Produit d'exploitation </t>
  </si>
  <si>
    <t>Ventes de biens et services produits</t>
  </si>
  <si>
    <t>Variation de stocks de produits</t>
  </si>
  <si>
    <t>Subventions d’exploitation</t>
  </si>
  <si>
    <t>-</t>
  </si>
  <si>
    <t>Autres produits d’exploitation</t>
  </si>
  <si>
    <t xml:space="preserve">Reprise d’exploitation </t>
  </si>
  <si>
    <t>2- Charges d’exploitation</t>
  </si>
  <si>
    <t>Autres charges externes</t>
  </si>
  <si>
    <t>Coût Salarial mensuel</t>
  </si>
  <si>
    <t>Achats consommés de matières et fournitures</t>
  </si>
  <si>
    <t>Salarié</t>
  </si>
  <si>
    <t>Poste</t>
  </si>
  <si>
    <t>Loyer</t>
  </si>
  <si>
    <t>Impôts et taxes</t>
  </si>
  <si>
    <t>Assurances</t>
  </si>
  <si>
    <t>Charges de personnel</t>
  </si>
  <si>
    <t>Charge Service bancaires</t>
  </si>
  <si>
    <t>Autres charges d’exploitation</t>
  </si>
  <si>
    <t>Transport</t>
  </si>
  <si>
    <t>Dotations d’exploitation (amortissement)</t>
  </si>
  <si>
    <t>publicité</t>
  </si>
  <si>
    <t>télécommunication</t>
  </si>
  <si>
    <t>3- Résultat d’exploitation (1-2)</t>
  </si>
  <si>
    <t>Financier</t>
  </si>
  <si>
    <t>4- Produit financier</t>
  </si>
  <si>
    <t>Gains de change</t>
  </si>
  <si>
    <t>Tableaux des amortissements d’immobilisation</t>
  </si>
  <si>
    <t>Intérêts et autres produits financiers</t>
  </si>
  <si>
    <t>Reprises financières</t>
  </si>
  <si>
    <t>Taxe professionnelle</t>
  </si>
  <si>
    <t>Immobilisation</t>
  </si>
  <si>
    <t>Montant</t>
  </si>
  <si>
    <t>Durée</t>
  </si>
  <si>
    <t>Taxe urbaine</t>
  </si>
  <si>
    <t>Immobilisation en non-valeur</t>
  </si>
  <si>
    <t>5- Charge financière</t>
  </si>
  <si>
    <t xml:space="preserve"> </t>
  </si>
  <si>
    <t>Frais préliminaires</t>
  </si>
  <si>
    <t>License</t>
  </si>
  <si>
    <t>Charges d’intérêt</t>
  </si>
  <si>
    <t>Pertes de change</t>
  </si>
  <si>
    <t>Matériel de bureau</t>
  </si>
  <si>
    <t>Autres charges financières</t>
  </si>
  <si>
    <t>Charge personnel</t>
  </si>
  <si>
    <t xml:space="preserve">Dotations financières </t>
  </si>
  <si>
    <t>6- Résultat financier (4-5)</t>
  </si>
  <si>
    <t>Salaire</t>
  </si>
  <si>
    <t>7- Résultat courant (6+3)</t>
  </si>
  <si>
    <t>CSP (Charges sociales patronales)</t>
  </si>
  <si>
    <t>Résultat avant impôts</t>
  </si>
  <si>
    <t xml:space="preserve">Impôts sur le résultat </t>
  </si>
  <si>
    <t xml:space="preserve">Résultat net </t>
  </si>
  <si>
    <t>Plan de financement</t>
  </si>
  <si>
    <t xml:space="preserve">Ressources
</t>
  </si>
  <si>
    <t>Capacité d’autofinancement</t>
  </si>
  <si>
    <t>Fonds propres (Capital)</t>
  </si>
  <si>
    <t>Total des ressources</t>
  </si>
  <si>
    <t>Emplois</t>
  </si>
  <si>
    <t>Distribution des dividendes</t>
  </si>
  <si>
    <t>Investissement en immo</t>
  </si>
  <si>
    <t>Remboursement des dettes</t>
  </si>
  <si>
    <t>Variation du BFR</t>
  </si>
  <si>
    <t>Total des emplois</t>
  </si>
  <si>
    <t>Soldes annuels</t>
  </si>
  <si>
    <t>Soldes cumulés</t>
  </si>
  <si>
    <t>w</t>
  </si>
  <si>
    <t>h</t>
  </si>
  <si>
    <t>d</t>
  </si>
  <si>
    <t>Dépôt de marque OMPIC</t>
  </si>
  <si>
    <t>Comptes développeurs Stores</t>
  </si>
  <si>
    <t>Nom de domaine &amp; Hébergement</t>
  </si>
  <si>
    <t>Licences logicielles &amp; Cloud</t>
  </si>
  <si>
    <t>B2C Premium</t>
  </si>
  <si>
    <t>B2B Lite</t>
  </si>
  <si>
    <t>B2B Pro</t>
  </si>
  <si>
    <t>Onboarding B2B</t>
  </si>
  <si>
    <t>Trésorerie</t>
  </si>
  <si>
    <t>Début 2027</t>
  </si>
  <si>
    <t>Fin 2027</t>
  </si>
  <si>
    <t>Fin 2028</t>
  </si>
  <si>
    <t>Fin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</si>
</sst>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0"/>
      <color rgb="FF000000"/>
      <name val="Arial"/>
      <scheme val="minor"/>
    </font>
    <font>
      <b/>
      <sz val="36"/>
      <color theme="1"/>
      <name val="Arial"/>
      <scheme val="minor"/>
    </font>
    <font>
      <sz val="10"/>
      <name val="Arial"/>
    </font>
    <font>
      <sz val="36"/>
      <color theme="1"/>
      <name val="Arial"/>
      <scheme val="minor"/>
    </font>
    <font>
      <sz val="24"/>
      <color theme="1"/>
      <name val="Arial"/>
      <scheme val="minor"/>
    </font>
    <font>
      <sz val="18"/>
      <color rgb="FF000000"/>
      <name val="&quot;Times New Roman&quot;"/>
    </font>
    <font>
      <sz val="18"/>
      <color rgb="FF000000"/>
      <name val="Arial"/>
    </font>
    <font>
      <sz val="10"/>
      <color theme="1"/>
      <name val="Arial"/>
      <scheme val="minor"/>
    </font>
    <font>
      <sz val="12"/>
      <color rgb="FF000000"/>
      <name val="&quot;Times New Roman&quot;"/>
    </font>
    <font>
      <sz val="10"/>
      <color theme="1"/>
      <name val="Arial"/>
    </font>
    <font>
      <sz val="18"/>
      <color theme="1"/>
      <name val="Arial"/>
      <scheme val="minor"/>
    </font>
    <font>
      <sz val="11"/>
      <color rgb="FF000000"/>
      <name val="&quot;Times New Roman&quot;"/>
    </font>
    <font>
      <sz val="11"/>
      <color theme="1"/>
      <name val="&quot;Century Schoolbook&quot;"/>
    </font>
    <font>
      <sz val="11"/>
      <color rgb="FF000000"/>
      <name val="&quot;docs-Century Schoolbook&quot;"/>
    </font>
    <font>
      <sz val="10"/>
      <color rgb="FF000000"/>
      <name val="Arial"/>
    </font>
    <font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76A5AF"/>
        <bgColor rgb="FF76A5AF"/>
      </patternFill>
    </fill>
  </fills>
  <borders count="46">
    <border>
      <left/>
      <right/>
      <top/>
      <bottom/>
      <diagonal/>
    </border>
    <border>
      <left style="thin">
        <color rgb="FF4285F4"/>
      </left>
      <right/>
      <top style="thin">
        <color rgb="FF4285F4"/>
      </top>
      <bottom style="thin">
        <color rgb="FF4285F4"/>
      </bottom>
      <diagonal/>
    </border>
    <border>
      <left/>
      <right/>
      <top style="thin">
        <color rgb="FF4285F4"/>
      </top>
      <bottom style="thin">
        <color rgb="FF4285F4"/>
      </bottom>
      <diagonal/>
    </border>
    <border>
      <left/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34A853"/>
      </left>
      <right/>
      <top style="thin">
        <color rgb="FF34A853"/>
      </top>
      <bottom/>
      <diagonal/>
    </border>
    <border>
      <left/>
      <right/>
      <top style="thin">
        <color rgb="FF34A853"/>
      </top>
      <bottom/>
      <diagonal/>
    </border>
    <border>
      <left/>
      <right style="thin">
        <color rgb="FF34A853"/>
      </right>
      <top style="thin">
        <color rgb="FF34A853"/>
      </top>
      <bottom/>
      <diagonal/>
    </border>
    <border>
      <left style="thin">
        <color rgb="FFEA4335"/>
      </left>
      <right/>
      <top style="thin">
        <color rgb="FFEA4335"/>
      </top>
      <bottom/>
      <diagonal/>
    </border>
    <border>
      <left/>
      <right/>
      <top style="thin">
        <color rgb="FFEA4335"/>
      </top>
      <bottom/>
      <diagonal/>
    </border>
    <border>
      <left/>
      <right style="thin">
        <color rgb="FFEA4335"/>
      </right>
      <top style="thin">
        <color rgb="FFEA4335"/>
      </top>
      <bottom/>
      <diagonal/>
    </border>
    <border>
      <left style="thin">
        <color rgb="FF34A853"/>
      </left>
      <right/>
      <top/>
      <bottom style="thin">
        <color rgb="FF34A853"/>
      </bottom>
      <diagonal/>
    </border>
    <border>
      <left/>
      <right/>
      <top/>
      <bottom style="thin">
        <color rgb="FF34A853"/>
      </bottom>
      <diagonal/>
    </border>
    <border>
      <left/>
      <right style="thin">
        <color rgb="FF34A853"/>
      </right>
      <top/>
      <bottom style="thin">
        <color rgb="FF34A853"/>
      </bottom>
      <diagonal/>
    </border>
    <border>
      <left style="thin">
        <color rgb="FFEA4335"/>
      </left>
      <right/>
      <top/>
      <bottom style="thin">
        <color rgb="FFEA4335"/>
      </bottom>
      <diagonal/>
    </border>
    <border>
      <left/>
      <right/>
      <top/>
      <bottom style="thin">
        <color rgb="FFEA4335"/>
      </bottom>
      <diagonal/>
    </border>
    <border>
      <left/>
      <right style="thin">
        <color rgb="FFEA4335"/>
      </right>
      <top/>
      <bottom style="thin">
        <color rgb="FFEA4335"/>
      </bottom>
      <diagonal/>
    </border>
    <border>
      <left style="thin">
        <color rgb="FF34A853"/>
      </left>
      <right/>
      <top style="thin">
        <color rgb="FF34A853"/>
      </top>
      <bottom style="thin">
        <color rgb="FF34A853"/>
      </bottom>
      <diagonal/>
    </border>
    <border>
      <left/>
      <right/>
      <top style="thin">
        <color rgb="FF34A853"/>
      </top>
      <bottom style="thin">
        <color rgb="FF34A853"/>
      </bottom>
      <diagonal/>
    </border>
    <border>
      <left/>
      <right style="thin">
        <color rgb="FF34A853"/>
      </right>
      <top style="thin">
        <color rgb="FF34A853"/>
      </top>
      <bottom style="thin">
        <color rgb="FF34A853"/>
      </bottom>
      <diagonal/>
    </border>
    <border>
      <left style="thin">
        <color rgb="FF34A853"/>
      </left>
      <right style="thin">
        <color rgb="FF34A853"/>
      </right>
      <top style="thin">
        <color rgb="FF34A853"/>
      </top>
      <bottom style="thin">
        <color rgb="FF34A853"/>
      </bottom>
      <diagonal/>
    </border>
    <border>
      <left style="thin">
        <color rgb="FF34A853"/>
      </left>
      <right/>
      <top/>
      <bottom/>
      <diagonal/>
    </border>
    <border>
      <left/>
      <right style="thin">
        <color rgb="FF34A853"/>
      </right>
      <top/>
      <bottom/>
      <diagonal/>
    </border>
    <border>
      <left style="thin">
        <color rgb="FF4285F4"/>
      </left>
      <right/>
      <top style="thin">
        <color rgb="FF4285F4"/>
      </top>
      <bottom/>
      <diagonal/>
    </border>
    <border>
      <left/>
      <right/>
      <top style="thin">
        <color rgb="FF4285F4"/>
      </top>
      <bottom/>
      <diagonal/>
    </border>
    <border>
      <left/>
      <right style="thin">
        <color rgb="FF4285F4"/>
      </right>
      <top style="thin">
        <color rgb="FF4285F4"/>
      </top>
      <bottom/>
      <diagonal/>
    </border>
    <border>
      <left style="thin">
        <color rgb="FF4285F4"/>
      </left>
      <right/>
      <top/>
      <bottom/>
      <diagonal/>
    </border>
    <border>
      <left/>
      <right style="thin">
        <color rgb="FF4285F4"/>
      </right>
      <top/>
      <bottom/>
      <diagonal/>
    </border>
    <border>
      <left style="thin">
        <color rgb="FF4285F4"/>
      </left>
      <right/>
      <top/>
      <bottom style="thin">
        <color rgb="FF4285F4"/>
      </bottom>
      <diagonal/>
    </border>
    <border>
      <left/>
      <right/>
      <top/>
      <bottom style="thin">
        <color rgb="FF4285F4"/>
      </bottom>
      <diagonal/>
    </border>
    <border>
      <left/>
      <right style="thin">
        <color rgb="FF4285F4"/>
      </right>
      <top/>
      <bottom style="thin">
        <color rgb="FF4285F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A4335"/>
      </left>
      <right/>
      <top style="thin">
        <color rgb="FFEA4335"/>
      </top>
      <bottom style="thin">
        <color rgb="FFEA4335"/>
      </bottom>
      <diagonal/>
    </border>
    <border>
      <left/>
      <right/>
      <top style="thin">
        <color rgb="FFEA4335"/>
      </top>
      <bottom style="thin">
        <color rgb="FFEA4335"/>
      </bottom>
      <diagonal/>
    </border>
    <border>
      <left/>
      <right style="thin">
        <color rgb="FFEA4335"/>
      </right>
      <top style="thin">
        <color rgb="FFEA4335"/>
      </top>
      <bottom style="thin">
        <color rgb="FFEA4335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/>
    <xf numFmtId="0" fontId="7" fillId="0" borderId="19" xfId="0" applyFont="1" applyBorder="1"/>
    <xf numFmtId="2" fontId="7" fillId="0" borderId="19" xfId="0" applyNumberFormat="1" applyFont="1" applyBorder="1"/>
    <xf numFmtId="0" fontId="7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right"/>
    </xf>
    <xf numFmtId="0" fontId="6" fillId="2" borderId="0" xfId="0" applyFont="1" applyFill="1" applyAlignment="1">
      <alignment horizontal="left"/>
    </xf>
    <xf numFmtId="1" fontId="7" fillId="0" borderId="19" xfId="0" applyNumberFormat="1" applyFont="1" applyBorder="1"/>
    <xf numFmtId="10" fontId="7" fillId="0" borderId="19" xfId="0" applyNumberFormat="1" applyFont="1" applyBorder="1"/>
    <xf numFmtId="0" fontId="7" fillId="3" borderId="33" xfId="0" applyFont="1" applyFill="1" applyBorder="1" applyAlignment="1">
      <alignment horizontal="center"/>
    </xf>
    <xf numFmtId="0" fontId="7" fillId="0" borderId="0" xfId="0" applyFont="1"/>
    <xf numFmtId="1" fontId="7" fillId="0" borderId="33" xfId="0" applyNumberFormat="1" applyFont="1" applyBorder="1"/>
    <xf numFmtId="0" fontId="7" fillId="0" borderId="33" xfId="0" applyFont="1" applyBorder="1"/>
    <xf numFmtId="1" fontId="7" fillId="4" borderId="33" xfId="0" applyNumberFormat="1" applyFont="1" applyFill="1" applyBorder="1"/>
    <xf numFmtId="0" fontId="7" fillId="6" borderId="33" xfId="0" applyFont="1" applyFill="1" applyBorder="1"/>
    <xf numFmtId="164" fontId="7" fillId="0" borderId="33" xfId="0" applyNumberFormat="1" applyFont="1" applyBorder="1"/>
    <xf numFmtId="164" fontId="7" fillId="4" borderId="33" xfId="0" applyNumberFormat="1" applyFont="1" applyFill="1" applyBorder="1"/>
    <xf numFmtId="0" fontId="14" fillId="2" borderId="0" xfId="0" applyFont="1" applyFill="1" applyAlignment="1">
      <alignment horizontal="left"/>
    </xf>
    <xf numFmtId="0" fontId="7" fillId="0" borderId="32" xfId="0" applyFont="1" applyBorder="1"/>
    <xf numFmtId="164" fontId="15" fillId="5" borderId="35" xfId="0" applyNumberFormat="1" applyFont="1" applyFill="1" applyBorder="1" applyAlignment="1">
      <alignment horizontal="left"/>
    </xf>
    <xf numFmtId="0" fontId="7" fillId="8" borderId="33" xfId="0" applyFont="1" applyFill="1" applyBorder="1"/>
    <xf numFmtId="0" fontId="7" fillId="6" borderId="37" xfId="0" applyFont="1" applyFill="1" applyBorder="1"/>
    <xf numFmtId="0" fontId="7" fillId="6" borderId="42" xfId="0" applyFont="1" applyFill="1" applyBorder="1"/>
    <xf numFmtId="0" fontId="7" fillId="4" borderId="33" xfId="0" applyFont="1" applyFill="1" applyBorder="1"/>
    <xf numFmtId="2" fontId="7" fillId="0" borderId="33" xfId="0" applyNumberFormat="1" applyFont="1" applyBorder="1"/>
    <xf numFmtId="0" fontId="15" fillId="5" borderId="33" xfId="0" applyFont="1" applyFill="1" applyBorder="1" applyAlignment="1">
      <alignment horizontal="right"/>
    </xf>
    <xf numFmtId="164" fontId="15" fillId="5" borderId="33" xfId="0" applyNumberFormat="1" applyFont="1" applyFill="1" applyBorder="1" applyAlignment="1">
      <alignment horizontal="right"/>
    </xf>
    <xf numFmtId="164" fontId="15" fillId="3" borderId="33" xfId="0" applyNumberFormat="1" applyFont="1" applyFill="1" applyBorder="1" applyAlignment="1">
      <alignment horizontal="right"/>
    </xf>
    <xf numFmtId="164" fontId="7" fillId="3" borderId="30" xfId="0" applyNumberFormat="1" applyFont="1" applyFill="1" applyBorder="1" applyAlignment="1">
      <alignment horizontal="right"/>
    </xf>
    <xf numFmtId="164" fontId="7" fillId="3" borderId="31" xfId="0" applyNumberFormat="1" applyFont="1" applyFill="1" applyBorder="1" applyAlignment="1">
      <alignment horizontal="right"/>
    </xf>
    <xf numFmtId="164" fontId="7" fillId="3" borderId="32" xfId="0" applyNumberFormat="1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9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0" fontId="7" fillId="9" borderId="0" xfId="0" applyFont="1" applyFill="1"/>
    <xf numFmtId="0" fontId="7" fillId="11" borderId="33" xfId="0" applyFont="1" applyFill="1" applyBorder="1"/>
    <xf numFmtId="164" fontId="7" fillId="11" borderId="33" xfId="0" applyNumberFormat="1" applyFont="1" applyFill="1" applyBorder="1"/>
    <xf numFmtId="0" fontId="1" fillId="0" borderId="22" xfId="0" applyFont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0" fillId="0" borderId="0" xfId="0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10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7" fillId="0" borderId="16" xfId="0" applyFont="1" applyBorder="1"/>
    <xf numFmtId="0" fontId="2" fillId="0" borderId="18" xfId="0" applyFont="1" applyBorder="1"/>
    <xf numFmtId="0" fontId="2" fillId="0" borderId="17" xfId="0" applyFont="1" applyBorder="1"/>
    <xf numFmtId="0" fontId="10" fillId="3" borderId="30" xfId="0" applyFont="1" applyFill="1" applyBorder="1" applyAlignment="1">
      <alignment horizontal="center"/>
    </xf>
    <xf numFmtId="0" fontId="2" fillId="0" borderId="31" xfId="0" applyFont="1" applyBorder="1"/>
    <xf numFmtId="0" fontId="2" fillId="0" borderId="32" xfId="0" applyFont="1" applyBorder="1"/>
    <xf numFmtId="0" fontId="10" fillId="4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/>
    <xf numFmtId="0" fontId="10" fillId="5" borderId="34" xfId="0" applyFont="1" applyFill="1" applyBorder="1" applyAlignment="1">
      <alignment horizontal="left"/>
    </xf>
    <xf numFmtId="0" fontId="7" fillId="0" borderId="30" xfId="0" applyFont="1" applyBorder="1"/>
    <xf numFmtId="0" fontId="7" fillId="4" borderId="30" xfId="0" applyFont="1" applyFill="1" applyBorder="1" applyAlignment="1">
      <alignment horizontal="right"/>
    </xf>
    <xf numFmtId="0" fontId="2" fillId="0" borderId="40" xfId="0" applyFont="1" applyBorder="1"/>
    <xf numFmtId="0" fontId="2" fillId="0" borderId="41" xfId="0" applyFont="1" applyBorder="1"/>
    <xf numFmtId="0" fontId="11" fillId="0" borderId="30" xfId="0" applyFont="1" applyBorder="1" applyAlignment="1">
      <alignment horizontal="left" wrapText="1"/>
    </xf>
    <xf numFmtId="0" fontId="15" fillId="5" borderId="34" xfId="0" applyFont="1" applyFill="1" applyBorder="1" applyAlignment="1">
      <alignment horizontal="left"/>
    </xf>
    <xf numFmtId="0" fontId="7" fillId="7" borderId="30" xfId="0" applyFont="1" applyFill="1" applyBorder="1" applyAlignment="1">
      <alignment horizontal="center"/>
    </xf>
    <xf numFmtId="0" fontId="15" fillId="5" borderId="30" xfId="0" applyFont="1" applyFill="1" applyBorder="1" applyAlignment="1">
      <alignment horizontal="left"/>
    </xf>
    <xf numFmtId="0" fontId="7" fillId="3" borderId="30" xfId="0" applyFont="1" applyFill="1" applyBorder="1"/>
    <xf numFmtId="0" fontId="7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7" fillId="0" borderId="1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/>
    </xf>
    <xf numFmtId="0" fontId="5" fillId="0" borderId="7" xfId="0" applyFont="1" applyBorder="1"/>
    <xf numFmtId="0" fontId="6" fillId="2" borderId="7" xfId="0" applyFont="1" applyFill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8" fillId="0" borderId="16" xfId="0" applyFont="1" applyBorder="1"/>
    <xf numFmtId="0" fontId="9" fillId="0" borderId="16" xfId="0" applyFont="1" applyBorder="1"/>
    <xf numFmtId="0" fontId="10" fillId="0" borderId="3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2" fillId="0" borderId="30" xfId="0" applyFont="1" applyBorder="1" applyAlignment="1">
      <alignment horizontal="left" wrapText="1"/>
    </xf>
    <xf numFmtId="0" fontId="7" fillId="6" borderId="30" xfId="0" applyFont="1" applyFill="1" applyBorder="1"/>
    <xf numFmtId="0" fontId="12" fillId="8" borderId="30" xfId="0" applyFont="1" applyFill="1" applyBorder="1" applyAlignment="1">
      <alignment horizontal="right" wrapText="1"/>
    </xf>
    <xf numFmtId="0" fontId="10" fillId="0" borderId="43" xfId="0" applyFont="1" applyBorder="1" applyAlignment="1">
      <alignment horizontal="center"/>
    </xf>
    <xf numFmtId="0" fontId="2" fillId="0" borderId="44" xfId="0" applyFont="1" applyBorder="1"/>
    <xf numFmtId="0" fontId="2" fillId="0" borderId="45" xfId="0" applyFont="1" applyBorder="1"/>
    <xf numFmtId="0" fontId="7" fillId="6" borderId="37" xfId="0" applyFont="1" applyFill="1" applyBorder="1"/>
    <xf numFmtId="0" fontId="7" fillId="10" borderId="30" xfId="0" applyFont="1" applyFill="1" applyBorder="1"/>
    <xf numFmtId="0" fontId="7" fillId="4" borderId="30" xfId="0" applyFont="1" applyFill="1" applyBorder="1"/>
    <xf numFmtId="0" fontId="13" fillId="2" borderId="30" xfId="0" applyFont="1" applyFill="1" applyBorder="1" applyAlignment="1">
      <alignment horizontal="left"/>
    </xf>
    <xf numFmtId="0" fontId="12" fillId="8" borderId="30" xfId="0" applyFont="1" applyFill="1" applyBorder="1" applyAlignment="1">
      <alignment horizontal="left" wrapText="1"/>
    </xf>
    <xf numFmtId="0" fontId="7" fillId="0" borderId="30" xfId="0" applyFont="1" applyBorder="1" applyAlignment="1">
      <alignment horizontal="right"/>
    </xf>
    <xf numFmtId="0" fontId="7" fillId="11" borderId="30" xfId="0" applyFont="1" applyFill="1" applyBorder="1"/>
    <xf numFmtId="0" fontId="9" fillId="0" borderId="17" xfId="0" applyFont="1" applyBorder="1"/>
    <xf numFmtId="0" fontId="9" fillId="0" borderId="18" xfId="0" applyFont="1" applyBorder="1"/>
    <xf numFmtId="0" fontId="7" fillId="0" borderId="18" xfId="0" applyFont="1" applyBorder="1" applyAlignment="1">
      <alignment horizontal="center"/>
    </xf>
    <xf numFmtId="0" fontId="7" fillId="0" borderId="18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7" fillId="0" borderId="0" xfId="0" applyFont="1" applyFill="1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93"/>
  <sheetViews>
    <sheetView tabSelected="1" topLeftCell="N76" zoomScale="117" zoomScaleNormal="57" workbookViewId="0">
      <selection activeCell="U85" sqref="U85"/>
    </sheetView>
  </sheetViews>
  <sheetFormatPr defaultColWidth="12.6640625" defaultRowHeight="15.75" customHeight="1"/>
  <cols>
    <col min="3" max="3" width="15.88671875" customWidth="1"/>
    <col min="6" max="6" width="12.77734375" customWidth="1"/>
    <col min="10" max="10" width="17.6640625" customWidth="1"/>
  </cols>
  <sheetData>
    <row r="1" spans="1:19" ht="45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7"/>
    </row>
    <row r="2" spans="1:19" ht="4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9" ht="4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5" spans="1:19" ht="22.8">
      <c r="B5" s="88" t="s">
        <v>1</v>
      </c>
      <c r="C5" s="77"/>
      <c r="D5" s="78"/>
      <c r="E5" s="88" t="s">
        <v>2</v>
      </c>
      <c r="F5" s="77"/>
      <c r="G5" s="78"/>
      <c r="I5" s="89" t="s">
        <v>3</v>
      </c>
      <c r="J5" s="113"/>
      <c r="K5" s="113"/>
      <c r="L5" s="113"/>
      <c r="M5" s="114"/>
      <c r="N5" s="2"/>
      <c r="O5" s="90" t="s">
        <v>4</v>
      </c>
      <c r="P5" s="49"/>
      <c r="Q5" s="49"/>
      <c r="R5" s="49"/>
      <c r="S5" s="50"/>
    </row>
    <row r="6" spans="1:19" ht="22.8">
      <c r="B6" s="81"/>
      <c r="C6" s="82"/>
      <c r="D6" s="83"/>
      <c r="E6" s="81"/>
      <c r="F6" s="82"/>
      <c r="G6" s="83"/>
      <c r="I6" s="115"/>
      <c r="J6" s="116"/>
      <c r="K6" s="116"/>
      <c r="L6" s="116"/>
      <c r="M6" s="117"/>
      <c r="N6" s="2"/>
      <c r="O6" s="51"/>
      <c r="P6" s="52"/>
      <c r="Q6" s="52"/>
      <c r="R6" s="52"/>
      <c r="S6" s="53"/>
    </row>
    <row r="7" spans="1:19" ht="13.2">
      <c r="B7" s="91" t="s">
        <v>5</v>
      </c>
      <c r="C7" s="56"/>
      <c r="D7" s="55"/>
      <c r="E7" s="54" t="s">
        <v>6</v>
      </c>
      <c r="F7" s="55"/>
      <c r="G7" s="3">
        <f>D15</f>
        <v>55500</v>
      </c>
    </row>
    <row r="8" spans="1:19" ht="13.2">
      <c r="B8" s="54" t="s">
        <v>7</v>
      </c>
      <c r="C8" s="55"/>
      <c r="D8" s="4">
        <v>8000</v>
      </c>
      <c r="E8" s="76"/>
      <c r="F8" s="77"/>
      <c r="G8" s="78"/>
      <c r="I8" s="84" t="s">
        <v>8</v>
      </c>
      <c r="J8" s="111"/>
      <c r="K8" s="5" t="s">
        <v>9</v>
      </c>
      <c r="L8" s="5" t="s">
        <v>10</v>
      </c>
      <c r="M8" s="5" t="s">
        <v>11</v>
      </c>
      <c r="O8" s="84" t="s">
        <v>8</v>
      </c>
      <c r="P8" s="55"/>
      <c r="Q8" s="5" t="s">
        <v>9</v>
      </c>
      <c r="R8" s="5" t="s">
        <v>10</v>
      </c>
      <c r="S8" s="5" t="s">
        <v>11</v>
      </c>
    </row>
    <row r="9" spans="1:19" ht="13.2">
      <c r="B9" s="91" t="s">
        <v>12</v>
      </c>
      <c r="C9" s="56"/>
      <c r="D9" s="55"/>
      <c r="E9" s="79"/>
      <c r="F9" s="43"/>
      <c r="G9" s="80"/>
      <c r="I9" s="54" t="s">
        <v>101</v>
      </c>
      <c r="J9" s="112"/>
      <c r="K9" s="3">
        <v>1</v>
      </c>
      <c r="L9" s="3">
        <v>1200</v>
      </c>
      <c r="M9" s="3">
        <f t="shared" ref="M9:M12" si="0">K9*L9</f>
        <v>1200</v>
      </c>
      <c r="O9" s="54" t="s">
        <v>13</v>
      </c>
      <c r="P9" s="55"/>
      <c r="Q9" s="3">
        <v>0</v>
      </c>
      <c r="R9" s="3"/>
      <c r="S9" s="3">
        <f>Q9*R9</f>
        <v>0</v>
      </c>
    </row>
    <row r="10" spans="1:19" ht="15">
      <c r="B10" s="92" t="s">
        <v>3</v>
      </c>
      <c r="C10" s="55"/>
      <c r="D10" s="3">
        <f>M13</f>
        <v>10000</v>
      </c>
      <c r="E10" s="79"/>
      <c r="F10" s="43"/>
      <c r="G10" s="80"/>
      <c r="I10" s="54" t="s">
        <v>102</v>
      </c>
      <c r="J10" s="112"/>
      <c r="K10" s="3">
        <v>2</v>
      </c>
      <c r="L10" s="3">
        <v>650</v>
      </c>
      <c r="M10" s="3">
        <f t="shared" si="0"/>
        <v>1300</v>
      </c>
    </row>
    <row r="11" spans="1:19" ht="13.2">
      <c r="B11" s="91" t="s">
        <v>14</v>
      </c>
      <c r="C11" s="56"/>
      <c r="D11" s="55"/>
      <c r="E11" s="79"/>
      <c r="F11" s="43"/>
      <c r="G11" s="80"/>
      <c r="I11" s="54" t="s">
        <v>103</v>
      </c>
      <c r="J11" s="112"/>
      <c r="K11" s="3">
        <v>1</v>
      </c>
      <c r="L11" s="3">
        <v>1000</v>
      </c>
      <c r="M11" s="3">
        <f t="shared" si="0"/>
        <v>1000</v>
      </c>
      <c r="O11" s="90" t="s">
        <v>15</v>
      </c>
      <c r="P11" s="49"/>
      <c r="Q11" s="49"/>
      <c r="R11" s="49"/>
      <c r="S11" s="50"/>
    </row>
    <row r="12" spans="1:19" ht="13.2">
      <c r="B12" s="54" t="s">
        <v>16</v>
      </c>
      <c r="C12" s="55"/>
      <c r="D12" s="3">
        <f>S17</f>
        <v>33000</v>
      </c>
      <c r="E12" s="79"/>
      <c r="F12" s="43"/>
      <c r="G12" s="80"/>
      <c r="I12" s="3" t="s">
        <v>104</v>
      </c>
      <c r="J12" s="3"/>
      <c r="K12" s="3">
        <v>1</v>
      </c>
      <c r="L12" s="3">
        <v>6500</v>
      </c>
      <c r="M12" s="3">
        <f t="shared" si="0"/>
        <v>6500</v>
      </c>
      <c r="O12" s="51"/>
      <c r="P12" s="52"/>
      <c r="Q12" s="52"/>
      <c r="R12" s="52"/>
      <c r="S12" s="53"/>
    </row>
    <row r="13" spans="1:19" ht="14.4" customHeight="1">
      <c r="B13" s="54" t="s">
        <v>17</v>
      </c>
      <c r="C13" s="55"/>
      <c r="D13" s="3">
        <f>S9</f>
        <v>0</v>
      </c>
      <c r="E13" s="81"/>
      <c r="F13" s="82"/>
      <c r="G13" s="83"/>
      <c r="I13" s="93" t="s">
        <v>18</v>
      </c>
      <c r="J13" s="109"/>
      <c r="K13" s="109"/>
      <c r="L13" s="110"/>
      <c r="M13" s="6">
        <f>SUM(M9:M12)</f>
        <v>10000</v>
      </c>
    </row>
    <row r="14" spans="1:19" ht="16.2" customHeight="1">
      <c r="B14" t="s">
        <v>109</v>
      </c>
      <c r="D14">
        <v>4500</v>
      </c>
      <c r="I14" s="7"/>
      <c r="J14" s="7"/>
      <c r="K14" s="7"/>
      <c r="L14" s="7"/>
      <c r="M14" s="7"/>
      <c r="O14" s="84" t="s">
        <v>8</v>
      </c>
      <c r="P14" s="55"/>
      <c r="Q14" s="5" t="s">
        <v>9</v>
      </c>
      <c r="R14" s="5" t="s">
        <v>10</v>
      </c>
      <c r="S14" s="5" t="s">
        <v>11</v>
      </c>
    </row>
    <row r="15" spans="1:19" ht="22.8">
      <c r="B15" s="54" t="s">
        <v>18</v>
      </c>
      <c r="C15" s="55"/>
      <c r="D15" s="4">
        <f>SUM(D12:D14,D10,D8)</f>
        <v>55500</v>
      </c>
      <c r="E15" s="54" t="s">
        <v>18</v>
      </c>
      <c r="F15" s="55"/>
      <c r="G15" s="3">
        <f>SUM(G7:G13)</f>
        <v>55500</v>
      </c>
      <c r="I15" s="7"/>
      <c r="J15" s="7"/>
      <c r="K15" s="7"/>
      <c r="L15" s="7"/>
      <c r="M15" s="7"/>
      <c r="O15" s="54" t="s">
        <v>19</v>
      </c>
      <c r="P15" s="55"/>
      <c r="Q15" s="3">
        <v>3</v>
      </c>
      <c r="R15" s="3">
        <v>8000</v>
      </c>
      <c r="S15" s="3">
        <f t="shared" ref="S15:S16" si="1">Q15*R15</f>
        <v>24000</v>
      </c>
    </row>
    <row r="16" spans="1:19" ht="22.8">
      <c r="I16" s="7"/>
      <c r="J16" s="7"/>
      <c r="K16" s="7"/>
      <c r="L16" s="7"/>
      <c r="M16" s="7"/>
      <c r="O16" s="54" t="s">
        <v>20</v>
      </c>
      <c r="P16" s="55"/>
      <c r="Q16" s="3">
        <v>6</v>
      </c>
      <c r="R16" s="3">
        <v>1500</v>
      </c>
      <c r="S16" s="3">
        <f t="shared" si="1"/>
        <v>9000</v>
      </c>
    </row>
    <row r="17" spans="1:19" ht="13.2">
      <c r="A17" s="39" t="s">
        <v>21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1"/>
      <c r="O17" s="54" t="s">
        <v>18</v>
      </c>
      <c r="P17" s="56"/>
      <c r="Q17" s="56"/>
      <c r="R17" s="55"/>
      <c r="S17" s="3">
        <f>SUM(S15:S16)</f>
        <v>33000</v>
      </c>
    </row>
    <row r="18" spans="1:19" ht="13.2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4"/>
    </row>
    <row r="19" spans="1:19" ht="13.2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7"/>
    </row>
    <row r="21" spans="1:19" ht="13.2">
      <c r="B21" s="48" t="s">
        <v>22</v>
      </c>
      <c r="C21" s="49"/>
      <c r="D21" s="49"/>
      <c r="E21" s="49"/>
      <c r="F21" s="50"/>
      <c r="H21" s="48" t="s">
        <v>23</v>
      </c>
      <c r="I21" s="49"/>
      <c r="J21" s="49"/>
      <c r="K21" s="49"/>
      <c r="L21" s="49"/>
      <c r="M21" s="50"/>
    </row>
    <row r="22" spans="1:19" ht="13.2">
      <c r="B22" s="51"/>
      <c r="C22" s="52"/>
      <c r="D22" s="52"/>
      <c r="E22" s="52"/>
      <c r="F22" s="53"/>
      <c r="H22" s="51"/>
      <c r="I22" s="52"/>
      <c r="J22" s="52"/>
      <c r="K22" s="52"/>
      <c r="L22" s="52"/>
      <c r="M22" s="53"/>
    </row>
    <row r="24" spans="1:19" ht="13.2">
      <c r="B24" s="54" t="s">
        <v>24</v>
      </c>
      <c r="C24" s="55"/>
      <c r="D24" s="3" t="s">
        <v>10</v>
      </c>
      <c r="E24" s="3" t="s">
        <v>25</v>
      </c>
      <c r="F24" s="3" t="s">
        <v>26</v>
      </c>
      <c r="H24" s="54"/>
      <c r="I24" s="55"/>
      <c r="J24" s="3">
        <v>2026</v>
      </c>
      <c r="K24" s="3">
        <v>2027</v>
      </c>
      <c r="L24" s="3">
        <v>2028</v>
      </c>
      <c r="M24" s="3">
        <v>2029</v>
      </c>
    </row>
    <row r="25" spans="1:19" ht="13.2">
      <c r="B25" s="54" t="s">
        <v>105</v>
      </c>
      <c r="C25" s="55"/>
      <c r="D25" s="3">
        <v>50</v>
      </c>
      <c r="E25" s="8">
        <v>200</v>
      </c>
      <c r="F25" s="8">
        <f t="shared" ref="F25:F26" si="2">D25*E25</f>
        <v>10000</v>
      </c>
      <c r="H25" s="54" t="s">
        <v>27</v>
      </c>
      <c r="I25" s="55"/>
      <c r="J25" s="8">
        <f>F29</f>
        <v>70000</v>
      </c>
      <c r="K25" s="8">
        <f t="shared" ref="K25:M25" si="3">J25+J25*K26</f>
        <v>95200</v>
      </c>
      <c r="L25" s="8">
        <f t="shared" si="3"/>
        <v>155176</v>
      </c>
      <c r="M25" s="8">
        <f t="shared" si="3"/>
        <v>239746.92</v>
      </c>
    </row>
    <row r="26" spans="1:19" ht="13.2">
      <c r="B26" s="54" t="s">
        <v>106</v>
      </c>
      <c r="C26" s="55"/>
      <c r="D26" s="3">
        <v>250</v>
      </c>
      <c r="E26" s="8">
        <v>8</v>
      </c>
      <c r="F26" s="3">
        <f t="shared" si="2"/>
        <v>2000</v>
      </c>
      <c r="H26" s="3" t="s">
        <v>28</v>
      </c>
      <c r="I26" s="3"/>
      <c r="J26" s="3"/>
      <c r="K26" s="9">
        <v>0.36</v>
      </c>
      <c r="L26" s="9">
        <v>0.63</v>
      </c>
      <c r="M26" s="9">
        <v>0.54500000000000004</v>
      </c>
    </row>
    <row r="27" spans="1:19" ht="22.8">
      <c r="B27" s="54" t="s">
        <v>107</v>
      </c>
      <c r="C27" s="55"/>
      <c r="D27" s="3">
        <v>3500</v>
      </c>
      <c r="E27" s="3">
        <v>12</v>
      </c>
      <c r="F27" s="3">
        <f>D27*E27</f>
        <v>42000</v>
      </c>
      <c r="I27" s="7"/>
      <c r="J27" s="7"/>
      <c r="K27" s="7"/>
      <c r="L27" s="7"/>
      <c r="M27" s="7"/>
    </row>
    <row r="28" spans="1:19" ht="22.8">
      <c r="B28" t="s">
        <v>108</v>
      </c>
      <c r="D28" s="118">
        <v>4000</v>
      </c>
      <c r="E28" s="119">
        <v>4</v>
      </c>
      <c r="F28">
        <f>D28*E28</f>
        <v>16000</v>
      </c>
      <c r="I28" s="7"/>
      <c r="J28" s="7"/>
      <c r="K28" s="7"/>
      <c r="L28" s="7"/>
      <c r="M28" s="7"/>
    </row>
    <row r="29" spans="1:19" ht="22.8">
      <c r="B29" s="54" t="s">
        <v>18</v>
      </c>
      <c r="C29" s="56"/>
      <c r="D29" s="56"/>
      <c r="E29" s="55"/>
      <c r="F29" s="8">
        <f>SUM(F25:F28)</f>
        <v>70000</v>
      </c>
      <c r="I29" s="7"/>
      <c r="J29" s="7"/>
      <c r="K29" s="7"/>
      <c r="L29" s="7"/>
      <c r="M29" s="7"/>
    </row>
    <row r="31" spans="1:19" ht="13.2">
      <c r="A31" s="39" t="s">
        <v>29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1"/>
    </row>
    <row r="32" spans="1:19" ht="13.2">
      <c r="A32" s="4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4"/>
    </row>
    <row r="33" spans="1:21" ht="13.2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7"/>
    </row>
    <row r="36" spans="1:21" ht="22.8">
      <c r="B36" s="57" t="s">
        <v>30</v>
      </c>
      <c r="C36" s="58"/>
      <c r="D36" s="59"/>
      <c r="E36" s="10">
        <v>2027</v>
      </c>
      <c r="F36" s="10">
        <v>2028</v>
      </c>
      <c r="G36" s="10">
        <v>2029</v>
      </c>
      <c r="H36" s="11"/>
    </row>
    <row r="37" spans="1:21" ht="13.2">
      <c r="B37" s="60" t="s">
        <v>31</v>
      </c>
      <c r="C37" s="61"/>
      <c r="D37" s="61"/>
      <c r="E37" s="61"/>
      <c r="F37" s="61"/>
      <c r="G37" s="62"/>
    </row>
    <row r="38" spans="1:21" ht="13.2">
      <c r="B38" s="63"/>
      <c r="C38" s="64"/>
      <c r="D38" s="64"/>
      <c r="E38" s="64"/>
      <c r="F38" s="64"/>
      <c r="G38" s="65"/>
    </row>
    <row r="39" spans="1:21" ht="13.2">
      <c r="B39" s="66" t="s">
        <v>32</v>
      </c>
      <c r="C39" s="61"/>
      <c r="D39" s="61"/>
      <c r="E39" s="61"/>
      <c r="F39" s="61"/>
      <c r="G39" s="62"/>
    </row>
    <row r="40" spans="1:21" ht="13.2">
      <c r="B40" s="63"/>
      <c r="C40" s="64"/>
      <c r="D40" s="64"/>
      <c r="E40" s="64"/>
      <c r="F40" s="64"/>
      <c r="G40" s="65"/>
    </row>
    <row r="41" spans="1:21" ht="13.2">
      <c r="B41" s="67" t="s">
        <v>33</v>
      </c>
      <c r="C41" s="58"/>
      <c r="D41" s="59"/>
      <c r="E41" s="12">
        <f>K25</f>
        <v>95200</v>
      </c>
      <c r="F41" s="12">
        <f>L25</f>
        <v>155176</v>
      </c>
      <c r="G41" s="12">
        <f>M25</f>
        <v>239746.92</v>
      </c>
    </row>
    <row r="42" spans="1:21" ht="13.2">
      <c r="B42" s="67" t="s">
        <v>34</v>
      </c>
      <c r="C42" s="58"/>
      <c r="D42" s="59"/>
      <c r="E42" s="13"/>
      <c r="F42" s="13"/>
      <c r="G42" s="13"/>
    </row>
    <row r="43" spans="1:21" ht="13.2">
      <c r="B43" s="67" t="s">
        <v>35</v>
      </c>
      <c r="C43" s="58"/>
      <c r="D43" s="59"/>
      <c r="E43" s="13" t="s">
        <v>36</v>
      </c>
      <c r="F43" s="13" t="s">
        <v>36</v>
      </c>
      <c r="G43" s="13" t="s">
        <v>36</v>
      </c>
    </row>
    <row r="44" spans="1:21" ht="13.2">
      <c r="B44" s="67" t="s">
        <v>37</v>
      </c>
      <c r="C44" s="58"/>
      <c r="D44" s="59"/>
      <c r="E44" s="13" t="s">
        <v>36</v>
      </c>
      <c r="F44" s="13" t="s">
        <v>36</v>
      </c>
      <c r="G44" s="13" t="s">
        <v>36</v>
      </c>
    </row>
    <row r="45" spans="1:21" ht="13.2">
      <c r="B45" s="67" t="s">
        <v>38</v>
      </c>
      <c r="C45" s="58"/>
      <c r="D45" s="59"/>
      <c r="E45" s="13" t="s">
        <v>36</v>
      </c>
      <c r="F45" s="13" t="s">
        <v>36</v>
      </c>
      <c r="G45" s="13" t="s">
        <v>36</v>
      </c>
    </row>
    <row r="46" spans="1:21" ht="13.2">
      <c r="B46" s="68" t="s">
        <v>18</v>
      </c>
      <c r="C46" s="58"/>
      <c r="D46" s="59"/>
      <c r="E46" s="14">
        <f t="shared" ref="E46:G46" si="4">E41</f>
        <v>95200</v>
      </c>
      <c r="F46" s="14">
        <f t="shared" si="4"/>
        <v>155176</v>
      </c>
      <c r="G46" s="14">
        <f t="shared" si="4"/>
        <v>239746.92</v>
      </c>
    </row>
    <row r="47" spans="1:21" ht="13.2">
      <c r="B47" s="66" t="s">
        <v>39</v>
      </c>
      <c r="C47" s="61"/>
      <c r="D47" s="61"/>
      <c r="E47" s="61"/>
      <c r="F47" s="61"/>
      <c r="G47" s="62"/>
    </row>
    <row r="48" spans="1:21" ht="13.2">
      <c r="B48" s="69"/>
      <c r="C48" s="43"/>
      <c r="D48" s="43"/>
      <c r="E48" s="43"/>
      <c r="F48" s="43"/>
      <c r="G48" s="70"/>
      <c r="I48" s="94" t="s">
        <v>40</v>
      </c>
      <c r="J48" s="61"/>
      <c r="K48" s="61"/>
      <c r="L48" s="61"/>
      <c r="M48" s="62"/>
      <c r="O48" s="95" t="s">
        <v>41</v>
      </c>
      <c r="P48" s="49"/>
      <c r="Q48" s="49"/>
      <c r="R48" s="49"/>
      <c r="S48" s="49"/>
      <c r="T48" s="49"/>
      <c r="U48" s="50"/>
    </row>
    <row r="49" spans="2:21" ht="13.2">
      <c r="B49" s="63"/>
      <c r="C49" s="64"/>
      <c r="D49" s="64"/>
      <c r="E49" s="64"/>
      <c r="F49" s="64"/>
      <c r="G49" s="65"/>
      <c r="I49" s="63"/>
      <c r="J49" s="64"/>
      <c r="K49" s="64"/>
      <c r="L49" s="64"/>
      <c r="M49" s="65"/>
      <c r="O49" s="51"/>
      <c r="P49" s="52"/>
      <c r="Q49" s="52"/>
      <c r="R49" s="52"/>
      <c r="S49" s="52"/>
      <c r="T49" s="52"/>
      <c r="U49" s="53"/>
    </row>
    <row r="50" spans="2:21" ht="13.8">
      <c r="B50" s="71" t="s">
        <v>42</v>
      </c>
      <c r="C50" s="58"/>
      <c r="D50" s="59"/>
      <c r="E50" s="13" t="s">
        <v>36</v>
      </c>
      <c r="F50" s="13" t="s">
        <v>36</v>
      </c>
      <c r="G50" s="13" t="s">
        <v>36</v>
      </c>
      <c r="I50" s="96"/>
      <c r="J50" s="59"/>
      <c r="K50" s="13">
        <v>2027</v>
      </c>
      <c r="L50" s="13">
        <v>2028</v>
      </c>
      <c r="M50" s="13">
        <v>2029</v>
      </c>
      <c r="O50" s="97" t="s">
        <v>43</v>
      </c>
      <c r="P50" s="59"/>
      <c r="Q50" s="97" t="s">
        <v>44</v>
      </c>
      <c r="R50" s="59"/>
      <c r="S50" s="15">
        <v>2027</v>
      </c>
      <c r="T50" s="15">
        <v>2028</v>
      </c>
      <c r="U50" s="15">
        <v>2029</v>
      </c>
    </row>
    <row r="51" spans="2:21" ht="13.2">
      <c r="B51" s="71" t="s">
        <v>40</v>
      </c>
      <c r="C51" s="58"/>
      <c r="D51" s="59"/>
      <c r="E51" s="13">
        <f>K59</f>
        <v>37240</v>
      </c>
      <c r="F51" s="13">
        <f t="shared" ref="E51:G51" si="5">L59</f>
        <v>43600</v>
      </c>
      <c r="G51" s="13">
        <f t="shared" si="5"/>
        <v>49100</v>
      </c>
      <c r="I51" s="96" t="s">
        <v>45</v>
      </c>
      <c r="J51" s="59"/>
      <c r="K51" s="13">
        <v>0</v>
      </c>
      <c r="L51" s="13">
        <v>0</v>
      </c>
      <c r="M51" s="13">
        <v>0</v>
      </c>
      <c r="O51" s="67" t="s">
        <v>99</v>
      </c>
      <c r="P51" s="59"/>
      <c r="Q51" s="67"/>
      <c r="R51" s="59"/>
      <c r="S51" s="13">
        <v>0</v>
      </c>
      <c r="T51" s="13">
        <v>0</v>
      </c>
      <c r="U51" s="13">
        <v>0</v>
      </c>
    </row>
    <row r="52" spans="2:21" ht="13.2">
      <c r="B52" s="71" t="s">
        <v>46</v>
      </c>
      <c r="C52" s="58"/>
      <c r="D52" s="59"/>
      <c r="E52" s="13" t="str">
        <f t="shared" ref="E52:G52" si="6">K66</f>
        <v xml:space="preserve"> </v>
      </c>
      <c r="F52" s="13">
        <f t="shared" si="6"/>
        <v>0</v>
      </c>
      <c r="G52" s="13">
        <f t="shared" si="6"/>
        <v>0</v>
      </c>
      <c r="I52" s="96" t="s">
        <v>47</v>
      </c>
      <c r="J52" s="59"/>
      <c r="K52" s="13">
        <v>5000</v>
      </c>
      <c r="L52" s="13">
        <v>5000</v>
      </c>
      <c r="M52" s="13">
        <v>5000</v>
      </c>
      <c r="O52" s="67" t="s">
        <v>98</v>
      </c>
      <c r="P52" s="59"/>
      <c r="Q52" s="67"/>
      <c r="R52" s="59"/>
      <c r="S52" s="13">
        <v>0</v>
      </c>
      <c r="T52" s="13">
        <v>0</v>
      </c>
      <c r="U52" s="13">
        <v>0</v>
      </c>
    </row>
    <row r="53" spans="2:21" ht="13.2">
      <c r="B53" s="71" t="s">
        <v>48</v>
      </c>
      <c r="C53" s="58"/>
      <c r="D53" s="59"/>
      <c r="E53" s="13">
        <f t="shared" ref="E53:G53" si="7">K76</f>
        <v>0</v>
      </c>
      <c r="F53" s="13">
        <f t="shared" si="7"/>
        <v>0</v>
      </c>
      <c r="G53" s="13">
        <f t="shared" si="7"/>
        <v>0</v>
      </c>
      <c r="I53" s="96" t="s">
        <v>49</v>
      </c>
      <c r="J53" s="59"/>
      <c r="K53" s="13">
        <v>1000</v>
      </c>
      <c r="L53" s="13">
        <v>1000</v>
      </c>
      <c r="M53" s="13">
        <v>1000</v>
      </c>
      <c r="O53" s="67" t="s">
        <v>100</v>
      </c>
      <c r="P53" s="59"/>
      <c r="Q53" s="67"/>
      <c r="R53" s="59"/>
      <c r="S53" s="13">
        <v>0</v>
      </c>
      <c r="T53" s="13">
        <v>0</v>
      </c>
      <c r="U53" s="13">
        <v>0</v>
      </c>
    </row>
    <row r="54" spans="2:21" ht="13.8">
      <c r="B54" s="71" t="s">
        <v>50</v>
      </c>
      <c r="C54" s="58"/>
      <c r="D54" s="59"/>
      <c r="E54" s="13"/>
      <c r="F54" s="13"/>
      <c r="G54" s="13"/>
      <c r="I54" s="105" t="s">
        <v>51</v>
      </c>
      <c r="J54" s="59"/>
      <c r="K54" s="120">
        <v>1640</v>
      </c>
      <c r="L54" s="13">
        <v>3000</v>
      </c>
      <c r="M54" s="13">
        <v>3500</v>
      </c>
      <c r="O54" s="67"/>
      <c r="P54" s="59"/>
      <c r="Q54" s="67"/>
      <c r="R54" s="59"/>
      <c r="S54" s="13"/>
      <c r="T54" s="13"/>
      <c r="U54" s="13"/>
    </row>
    <row r="55" spans="2:21" ht="13.2">
      <c r="B55" s="71" t="s">
        <v>52</v>
      </c>
      <c r="C55" s="58"/>
      <c r="D55" s="59"/>
      <c r="E55" s="16">
        <f>S72</f>
        <v>11533.333333333332</v>
      </c>
      <c r="F55" s="16">
        <f t="shared" ref="E55:G55" si="8">T72</f>
        <v>11533.333333333332</v>
      </c>
      <c r="G55" s="16">
        <f t="shared" si="8"/>
        <v>11533.333333333332</v>
      </c>
      <c r="I55" s="96" t="s">
        <v>53</v>
      </c>
      <c r="J55" s="59"/>
      <c r="K55" s="13">
        <f>20000</f>
        <v>20000</v>
      </c>
      <c r="L55" s="13">
        <f>25000</f>
        <v>25000</v>
      </c>
      <c r="M55" s="13">
        <f>30000</f>
        <v>30000</v>
      </c>
      <c r="O55" s="67"/>
      <c r="P55" s="59"/>
      <c r="Q55" s="67"/>
      <c r="R55" s="59"/>
      <c r="S55" s="13"/>
      <c r="T55" s="13"/>
      <c r="U55" s="13"/>
    </row>
    <row r="56" spans="2:21" ht="13.2">
      <c r="B56" s="68" t="s">
        <v>18</v>
      </c>
      <c r="C56" s="58"/>
      <c r="D56" s="59"/>
      <c r="E56" s="17">
        <f t="shared" ref="E56:G56" si="9">SUM(E50:E55)</f>
        <v>48773.333333333328</v>
      </c>
      <c r="F56" s="17">
        <f t="shared" si="9"/>
        <v>55133.333333333328</v>
      </c>
      <c r="G56" s="17">
        <f t="shared" si="9"/>
        <v>60633.333333333328</v>
      </c>
      <c r="I56" s="96" t="s">
        <v>54</v>
      </c>
      <c r="J56" s="59"/>
      <c r="K56" s="13">
        <f t="shared" ref="K56:M56" si="10">800*12</f>
        <v>9600</v>
      </c>
      <c r="L56" s="13">
        <f t="shared" si="10"/>
        <v>9600</v>
      </c>
      <c r="M56" s="13">
        <f t="shared" si="10"/>
        <v>9600</v>
      </c>
      <c r="O56" s="67"/>
      <c r="P56" s="59"/>
      <c r="Q56" s="18"/>
      <c r="R56" s="19"/>
      <c r="S56" s="13"/>
      <c r="T56" s="13"/>
      <c r="U56" s="13"/>
    </row>
    <row r="57" spans="2:21" ht="13.8">
      <c r="B57" s="72" t="s">
        <v>55</v>
      </c>
      <c r="C57" s="61"/>
      <c r="D57" s="61"/>
      <c r="E57" s="20">
        <f t="shared" ref="E57:G57" si="11">E46-E56</f>
        <v>46426.666666666672</v>
      </c>
      <c r="F57" s="20">
        <f t="shared" si="11"/>
        <v>100042.66666666667</v>
      </c>
      <c r="G57" s="20">
        <f t="shared" si="11"/>
        <v>179113.58666666667</v>
      </c>
      <c r="I57" s="96"/>
      <c r="J57" s="59"/>
      <c r="K57" s="13"/>
      <c r="L57" s="13"/>
      <c r="M57" s="13"/>
      <c r="O57" s="67"/>
      <c r="P57" s="59"/>
      <c r="Q57" s="18"/>
      <c r="R57" s="19"/>
      <c r="S57" s="13"/>
      <c r="T57" s="13"/>
      <c r="U57" s="13"/>
    </row>
    <row r="58" spans="2:21" ht="13.8">
      <c r="B58" s="73" t="s">
        <v>56</v>
      </c>
      <c r="C58" s="58"/>
      <c r="D58" s="58"/>
      <c r="E58" s="58"/>
      <c r="F58" s="58"/>
      <c r="G58" s="59"/>
      <c r="I58" s="96"/>
      <c r="J58" s="59"/>
      <c r="K58" s="13"/>
      <c r="L58" s="13"/>
      <c r="M58" s="13"/>
      <c r="O58" s="107" t="s">
        <v>18</v>
      </c>
      <c r="P58" s="58"/>
      <c r="Q58" s="58"/>
      <c r="R58" s="59"/>
      <c r="S58" s="13">
        <f>SUM(S51:S56)</f>
        <v>0</v>
      </c>
      <c r="T58" s="13">
        <f t="shared" ref="T58:U58" si="12">SUM(T51:T57)</f>
        <v>0</v>
      </c>
      <c r="U58" s="13">
        <f t="shared" si="12"/>
        <v>0</v>
      </c>
    </row>
    <row r="59" spans="2:21" ht="13.2">
      <c r="B59" s="66" t="s">
        <v>57</v>
      </c>
      <c r="C59" s="61"/>
      <c r="D59" s="61"/>
      <c r="E59" s="61"/>
      <c r="F59" s="61"/>
      <c r="G59" s="62"/>
      <c r="I59" s="106" t="s">
        <v>18</v>
      </c>
      <c r="J59" s="59"/>
      <c r="K59" s="21">
        <f>SUM(K51:K58)</f>
        <v>37240</v>
      </c>
      <c r="L59" s="21">
        <f t="shared" ref="K59:M59" si="13">SUM(L51:L58)</f>
        <v>43600</v>
      </c>
      <c r="M59" s="21">
        <f t="shared" si="13"/>
        <v>49100</v>
      </c>
    </row>
    <row r="60" spans="2:21" ht="13.2">
      <c r="B60" s="69"/>
      <c r="C60" s="43"/>
      <c r="D60" s="43"/>
      <c r="E60" s="43"/>
      <c r="F60" s="43"/>
      <c r="G60" s="70"/>
    </row>
    <row r="61" spans="2:21" ht="13.2">
      <c r="B61" s="63"/>
      <c r="C61" s="64"/>
      <c r="D61" s="64"/>
      <c r="E61" s="64"/>
      <c r="F61" s="64"/>
      <c r="G61" s="65"/>
      <c r="I61" s="94" t="s">
        <v>46</v>
      </c>
      <c r="J61" s="61"/>
      <c r="K61" s="61"/>
      <c r="L61" s="61"/>
      <c r="M61" s="62"/>
    </row>
    <row r="62" spans="2:21" ht="13.2">
      <c r="B62" s="71" t="s">
        <v>58</v>
      </c>
      <c r="C62" s="58"/>
      <c r="D62" s="59"/>
      <c r="E62" s="13"/>
      <c r="F62" s="13"/>
      <c r="G62" s="13"/>
      <c r="I62" s="63"/>
      <c r="J62" s="64"/>
      <c r="K62" s="64"/>
      <c r="L62" s="64"/>
      <c r="M62" s="65"/>
      <c r="O62" s="95" t="s">
        <v>59</v>
      </c>
      <c r="P62" s="49"/>
      <c r="Q62" s="49"/>
      <c r="R62" s="49"/>
      <c r="S62" s="49"/>
      <c r="T62" s="49"/>
      <c r="U62" s="50"/>
    </row>
    <row r="63" spans="2:21" ht="13.8">
      <c r="B63" s="71" t="s">
        <v>60</v>
      </c>
      <c r="C63" s="58"/>
      <c r="D63" s="59"/>
      <c r="E63" s="13"/>
      <c r="F63" s="13"/>
      <c r="G63" s="13"/>
      <c r="I63" s="96"/>
      <c r="J63" s="59"/>
      <c r="K63" s="13"/>
      <c r="L63" s="13"/>
      <c r="M63" s="13"/>
      <c r="O63" s="51"/>
      <c r="P63" s="52"/>
      <c r="Q63" s="52"/>
      <c r="R63" s="52"/>
      <c r="S63" s="52"/>
      <c r="T63" s="52"/>
      <c r="U63" s="53"/>
    </row>
    <row r="64" spans="2:21" ht="13.2">
      <c r="B64" s="71" t="s">
        <v>61</v>
      </c>
      <c r="C64" s="58"/>
      <c r="D64" s="59"/>
      <c r="E64" s="13"/>
      <c r="F64" s="13"/>
      <c r="G64" s="13"/>
      <c r="I64" s="96" t="s">
        <v>62</v>
      </c>
      <c r="J64" s="59"/>
      <c r="K64" s="13">
        <v>0</v>
      </c>
      <c r="L64" s="13">
        <v>0</v>
      </c>
      <c r="M64" s="13">
        <v>0</v>
      </c>
      <c r="O64" s="102" t="s">
        <v>63</v>
      </c>
      <c r="P64" s="65"/>
      <c r="Q64" s="23" t="s">
        <v>64</v>
      </c>
      <c r="R64" s="23" t="s">
        <v>65</v>
      </c>
      <c r="S64" s="23">
        <v>2027</v>
      </c>
      <c r="T64" s="23">
        <v>2028</v>
      </c>
      <c r="U64" s="23">
        <v>2029</v>
      </c>
    </row>
    <row r="65" spans="2:22" ht="13.2">
      <c r="B65" s="68" t="s">
        <v>18</v>
      </c>
      <c r="C65" s="58"/>
      <c r="D65" s="59"/>
      <c r="E65" s="24">
        <f t="shared" ref="E65:G65" si="14">SUM(E62:E64)</f>
        <v>0</v>
      </c>
      <c r="F65" s="24">
        <f t="shared" si="14"/>
        <v>0</v>
      </c>
      <c r="G65" s="24">
        <f t="shared" si="14"/>
        <v>0</v>
      </c>
      <c r="I65" s="96" t="s">
        <v>66</v>
      </c>
      <c r="J65" s="59"/>
      <c r="K65" s="13">
        <v>0</v>
      </c>
      <c r="L65" s="13">
        <v>0</v>
      </c>
      <c r="M65" s="13">
        <v>0</v>
      </c>
      <c r="O65" s="67" t="s">
        <v>67</v>
      </c>
      <c r="P65" s="58"/>
      <c r="Q65" s="58"/>
      <c r="R65" s="58"/>
      <c r="S65" s="58"/>
      <c r="T65" s="58"/>
      <c r="U65" s="59"/>
    </row>
    <row r="66" spans="2:22" ht="20.25" customHeight="1">
      <c r="B66" s="66" t="s">
        <v>68</v>
      </c>
      <c r="C66" s="61"/>
      <c r="D66" s="61"/>
      <c r="E66" s="61"/>
      <c r="F66" s="61"/>
      <c r="G66" s="62"/>
      <c r="I66" s="98" t="s">
        <v>18</v>
      </c>
      <c r="J66" s="59"/>
      <c r="K66" s="21" t="s">
        <v>69</v>
      </c>
      <c r="L66" s="21">
        <f t="shared" ref="L66:M66" si="15">SUM(L64:L65)</f>
        <v>0</v>
      </c>
      <c r="M66" s="21">
        <f t="shared" si="15"/>
        <v>0</v>
      </c>
      <c r="O66" s="67" t="s">
        <v>70</v>
      </c>
      <c r="P66" s="59"/>
      <c r="Q66" s="25">
        <f>D8</f>
        <v>8000</v>
      </c>
      <c r="R66" s="13">
        <v>5</v>
      </c>
      <c r="S66" s="13">
        <f t="shared" ref="S66:U66" si="16">$Q$66*(1/$R$66)</f>
        <v>1600</v>
      </c>
      <c r="T66" s="13">
        <f t="shared" si="16"/>
        <v>1600</v>
      </c>
      <c r="U66" s="13">
        <f t="shared" si="16"/>
        <v>1600</v>
      </c>
    </row>
    <row r="67" spans="2:22" ht="13.2">
      <c r="B67" s="69"/>
      <c r="C67" s="43"/>
      <c r="D67" s="43"/>
      <c r="E67" s="43"/>
      <c r="F67" s="43"/>
      <c r="G67" s="70"/>
      <c r="O67" s="67" t="s">
        <v>12</v>
      </c>
      <c r="P67" s="58"/>
      <c r="Q67" s="58"/>
      <c r="R67" s="58"/>
      <c r="S67" s="58"/>
      <c r="T67" s="58"/>
      <c r="U67" s="59"/>
    </row>
    <row r="68" spans="2:22" ht="13.2">
      <c r="B68" s="63"/>
      <c r="C68" s="64"/>
      <c r="D68" s="64"/>
      <c r="E68" s="64"/>
      <c r="F68" s="64"/>
      <c r="G68" s="65"/>
      <c r="O68" s="67" t="s">
        <v>71</v>
      </c>
      <c r="P68" s="59"/>
      <c r="Q68" s="13">
        <f>D10</f>
        <v>10000</v>
      </c>
      <c r="R68" s="13">
        <f>3</f>
        <v>3</v>
      </c>
      <c r="S68" s="13">
        <f t="shared" ref="S68:U68" si="17">$Q$68*(1/$R$68)</f>
        <v>3333.333333333333</v>
      </c>
      <c r="T68" s="13">
        <f t="shared" si="17"/>
        <v>3333.333333333333</v>
      </c>
      <c r="U68" s="13">
        <f t="shared" si="17"/>
        <v>3333.333333333333</v>
      </c>
    </row>
    <row r="69" spans="2:22" ht="13.2">
      <c r="B69" s="71" t="s">
        <v>72</v>
      </c>
      <c r="C69" s="58"/>
      <c r="D69" s="59"/>
      <c r="E69" s="13"/>
      <c r="F69" s="13"/>
      <c r="G69" s="13"/>
      <c r="O69" s="67" t="s">
        <v>14</v>
      </c>
      <c r="P69" s="58"/>
      <c r="Q69" s="58"/>
      <c r="R69" s="58"/>
      <c r="S69" s="58"/>
      <c r="T69" s="58"/>
      <c r="U69" s="59"/>
    </row>
    <row r="70" spans="2:22" ht="13.2">
      <c r="B70" s="71" t="s">
        <v>73</v>
      </c>
      <c r="C70" s="58"/>
      <c r="D70" s="59"/>
      <c r="E70" s="13"/>
      <c r="F70" s="13"/>
      <c r="G70" s="13"/>
      <c r="O70" s="67" t="s">
        <v>74</v>
      </c>
      <c r="P70" s="59"/>
      <c r="Q70" s="13">
        <f>D13</f>
        <v>0</v>
      </c>
      <c r="R70" s="13">
        <v>5</v>
      </c>
      <c r="S70" s="13">
        <f t="shared" ref="S70:U70" si="18">$Q$70*(1/$R$70)</f>
        <v>0</v>
      </c>
      <c r="T70" s="13">
        <f t="shared" si="18"/>
        <v>0</v>
      </c>
      <c r="U70" s="13">
        <f t="shared" si="18"/>
        <v>0</v>
      </c>
    </row>
    <row r="71" spans="2:22" ht="13.2">
      <c r="B71" s="71" t="s">
        <v>75</v>
      </c>
      <c r="C71" s="58"/>
      <c r="D71" s="59"/>
      <c r="E71" s="13"/>
      <c r="F71" s="13"/>
      <c r="G71" s="13"/>
      <c r="I71" s="94" t="s">
        <v>76</v>
      </c>
      <c r="J71" s="61"/>
      <c r="K71" s="61"/>
      <c r="L71" s="61"/>
      <c r="M71" s="62"/>
      <c r="O71" s="67" t="s">
        <v>15</v>
      </c>
      <c r="P71" s="59"/>
      <c r="Q71" s="13">
        <f>D12</f>
        <v>33000</v>
      </c>
      <c r="R71" s="13">
        <v>5</v>
      </c>
      <c r="S71" s="13">
        <f t="shared" ref="S71:U71" si="19">$Q$71*(1/$R$71)</f>
        <v>6600</v>
      </c>
      <c r="T71" s="13">
        <f t="shared" si="19"/>
        <v>6600</v>
      </c>
      <c r="U71" s="13">
        <f t="shared" si="19"/>
        <v>6600</v>
      </c>
    </row>
    <row r="72" spans="2:22" ht="13.2">
      <c r="B72" s="71" t="s">
        <v>77</v>
      </c>
      <c r="C72" s="58"/>
      <c r="D72" s="59"/>
      <c r="E72" s="13"/>
      <c r="F72" s="13"/>
      <c r="G72" s="13"/>
      <c r="I72" s="63"/>
      <c r="J72" s="64"/>
      <c r="K72" s="64"/>
      <c r="L72" s="64"/>
      <c r="M72" s="65"/>
      <c r="O72" s="98" t="s">
        <v>18</v>
      </c>
      <c r="P72" s="58"/>
      <c r="Q72" s="58"/>
      <c r="R72" s="59"/>
      <c r="S72" s="21">
        <f>SUM(S66,S68,S70:S71)</f>
        <v>11533.333333333332</v>
      </c>
      <c r="T72" s="21">
        <f t="shared" ref="S72:U72" si="20">SUM(T66,T68,T70:T71)</f>
        <v>11533.333333333332</v>
      </c>
      <c r="U72" s="21">
        <f t="shared" si="20"/>
        <v>11533.333333333332</v>
      </c>
    </row>
    <row r="73" spans="2:22" ht="13.8">
      <c r="B73" s="68" t="s">
        <v>18</v>
      </c>
      <c r="C73" s="58"/>
      <c r="D73" s="59"/>
      <c r="E73" s="24">
        <f t="shared" ref="E73:G73" si="21">SUM(E69:E72)</f>
        <v>0</v>
      </c>
      <c r="F73" s="24">
        <f t="shared" si="21"/>
        <v>0</v>
      </c>
      <c r="G73" s="24">
        <f t="shared" si="21"/>
        <v>0</v>
      </c>
      <c r="I73" s="96"/>
      <c r="J73" s="59"/>
      <c r="K73" s="13"/>
      <c r="L73" s="13"/>
      <c r="M73" s="13"/>
    </row>
    <row r="74" spans="2:22" ht="13.2">
      <c r="B74" s="74" t="s">
        <v>78</v>
      </c>
      <c r="C74" s="58"/>
      <c r="D74" s="59"/>
      <c r="E74" s="26">
        <f t="shared" ref="E74:G74" si="22">E65-E73</f>
        <v>0</v>
      </c>
      <c r="F74" s="26">
        <f t="shared" si="22"/>
        <v>0</v>
      </c>
      <c r="G74" s="26">
        <f t="shared" si="22"/>
        <v>0</v>
      </c>
      <c r="I74" s="96" t="s">
        <v>79</v>
      </c>
      <c r="J74" s="59"/>
      <c r="K74" s="13">
        <f t="shared" ref="K74:M74" si="23">S58</f>
        <v>0</v>
      </c>
      <c r="L74" s="13">
        <f t="shared" si="23"/>
        <v>0</v>
      </c>
      <c r="M74" s="13">
        <f t="shared" si="23"/>
        <v>0</v>
      </c>
    </row>
    <row r="75" spans="2:22" ht="13.2">
      <c r="B75" s="74" t="s">
        <v>80</v>
      </c>
      <c r="C75" s="58"/>
      <c r="D75" s="59"/>
      <c r="E75" s="27">
        <f t="shared" ref="E75:G75" si="24">E74+E57</f>
        <v>46426.666666666672</v>
      </c>
      <c r="F75" s="27">
        <f t="shared" si="24"/>
        <v>100042.66666666667</v>
      </c>
      <c r="G75" s="27">
        <f t="shared" si="24"/>
        <v>179113.58666666667</v>
      </c>
      <c r="I75" s="96" t="s">
        <v>81</v>
      </c>
      <c r="J75" s="59"/>
      <c r="K75" s="13">
        <f t="shared" ref="K75:M75" si="25">K74*0.25</f>
        <v>0</v>
      </c>
      <c r="L75" s="13">
        <f t="shared" si="25"/>
        <v>0</v>
      </c>
      <c r="M75" s="13">
        <f t="shared" si="25"/>
        <v>0</v>
      </c>
    </row>
    <row r="76" spans="2:22" ht="13.2">
      <c r="B76" s="75" t="s">
        <v>82</v>
      </c>
      <c r="C76" s="58"/>
      <c r="D76" s="59"/>
      <c r="E76" s="28">
        <f t="shared" ref="E76:G76" si="26">E75+E58</f>
        <v>46426.666666666672</v>
      </c>
      <c r="F76" s="28">
        <f t="shared" si="26"/>
        <v>100042.66666666667</v>
      </c>
      <c r="G76" s="28">
        <f t="shared" si="26"/>
        <v>179113.58666666667</v>
      </c>
      <c r="I76" s="98" t="s">
        <v>18</v>
      </c>
      <c r="J76" s="59"/>
      <c r="K76" s="21">
        <f t="shared" ref="K76:M76" si="27">SUM(K74:K75)</f>
        <v>0</v>
      </c>
      <c r="L76" s="21">
        <f t="shared" si="27"/>
        <v>0</v>
      </c>
      <c r="M76" s="21">
        <f t="shared" si="27"/>
        <v>0</v>
      </c>
    </row>
    <row r="77" spans="2:22" ht="13.2">
      <c r="B77" s="75" t="s">
        <v>83</v>
      </c>
      <c r="C77" s="58"/>
      <c r="D77" s="59"/>
      <c r="E77" s="29">
        <f t="shared" ref="E77:G77" si="28">E76*0.1</f>
        <v>4642.666666666667</v>
      </c>
      <c r="F77" s="30">
        <f t="shared" si="28"/>
        <v>10004.266666666668</v>
      </c>
      <c r="G77" s="31">
        <f t="shared" si="28"/>
        <v>17911.358666666667</v>
      </c>
    </row>
    <row r="78" spans="2:22" ht="13.2">
      <c r="B78" s="75" t="s">
        <v>84</v>
      </c>
      <c r="C78" s="58"/>
      <c r="D78" s="59"/>
      <c r="E78" s="29">
        <f t="shared" ref="E78:G78" si="29">E76-E77</f>
        <v>41784.000000000007</v>
      </c>
      <c r="F78" s="29">
        <f t="shared" si="29"/>
        <v>90038.400000000009</v>
      </c>
      <c r="G78" s="29">
        <f t="shared" si="29"/>
        <v>161202.228</v>
      </c>
    </row>
    <row r="79" spans="2:22" ht="22.8">
      <c r="I79" s="32"/>
      <c r="J79" s="32"/>
      <c r="K79" s="32"/>
      <c r="L79" s="11"/>
      <c r="M79" s="11"/>
      <c r="O79" s="99" t="s">
        <v>85</v>
      </c>
      <c r="P79" s="100"/>
      <c r="Q79" s="100"/>
      <c r="R79" s="100"/>
      <c r="S79" s="100"/>
      <c r="T79" s="101"/>
      <c r="U79" s="33"/>
    </row>
    <row r="80" spans="2:22" ht="13.2">
      <c r="I80" s="34"/>
      <c r="J80" s="35"/>
      <c r="K80" s="35"/>
      <c r="O80" s="102"/>
      <c r="P80" s="65"/>
      <c r="Q80" s="23" t="s">
        <v>110</v>
      </c>
      <c r="R80" s="23" t="s">
        <v>111</v>
      </c>
      <c r="S80" s="23" t="s">
        <v>112</v>
      </c>
      <c r="T80" s="22" t="s">
        <v>113</v>
      </c>
      <c r="U80" s="36"/>
      <c r="V80" s="36"/>
    </row>
    <row r="81" spans="15:20" ht="13.2">
      <c r="O81" s="103" t="s">
        <v>86</v>
      </c>
      <c r="P81" s="58"/>
      <c r="Q81" s="58"/>
      <c r="R81" s="58"/>
      <c r="S81" s="58"/>
      <c r="T81" s="59"/>
    </row>
    <row r="82" spans="15:20" ht="13.2">
      <c r="O82" s="67" t="s">
        <v>87</v>
      </c>
      <c r="P82" s="59"/>
      <c r="Q82" s="13" t="s">
        <v>36</v>
      </c>
      <c r="R82" s="16">
        <f>E78+E55</f>
        <v>53317.333333333343</v>
      </c>
      <c r="S82" s="16">
        <f t="shared" ref="R82:T82" si="30">F78+F55</f>
        <v>101571.73333333334</v>
      </c>
      <c r="T82" s="16">
        <f t="shared" si="30"/>
        <v>172735.56133333335</v>
      </c>
    </row>
    <row r="83" spans="15:20" ht="13.2">
      <c r="O83" s="67" t="s">
        <v>88</v>
      </c>
      <c r="P83" s="59"/>
      <c r="Q83" s="13">
        <f>G7</f>
        <v>55500</v>
      </c>
      <c r="R83" s="13"/>
      <c r="S83" s="13"/>
      <c r="T83" s="13"/>
    </row>
    <row r="84" spans="15:20" ht="13.2">
      <c r="O84" s="104" t="s">
        <v>89</v>
      </c>
      <c r="P84" s="59"/>
      <c r="Q84" s="24">
        <f t="shared" ref="Q84:T84" si="31">SUM(Q82:Q83)</f>
        <v>55500</v>
      </c>
      <c r="R84" s="17">
        <f t="shared" si="31"/>
        <v>53317.333333333343</v>
      </c>
      <c r="S84" s="17">
        <f t="shared" si="31"/>
        <v>101571.73333333334</v>
      </c>
      <c r="T84" s="17">
        <f t="shared" si="31"/>
        <v>172735.56133333335</v>
      </c>
    </row>
    <row r="85" spans="15:20" ht="13.2">
      <c r="O85" s="103" t="s">
        <v>90</v>
      </c>
      <c r="P85" s="58"/>
      <c r="Q85" s="58"/>
      <c r="R85" s="58"/>
      <c r="S85" s="58"/>
      <c r="T85" s="59"/>
    </row>
    <row r="86" spans="15:20" ht="13.2">
      <c r="O86" s="67" t="s">
        <v>91</v>
      </c>
      <c r="P86" s="59"/>
      <c r="Q86" s="13"/>
      <c r="R86" s="13"/>
      <c r="S86" s="13">
        <f>S84*0.3</f>
        <v>30471.52</v>
      </c>
      <c r="T86" s="13">
        <f t="shared" ref="S86:T86" si="32">T84*0.3</f>
        <v>51820.668400000002</v>
      </c>
    </row>
    <row r="87" spans="15:20" ht="13.2">
      <c r="O87" s="67" t="s">
        <v>70</v>
      </c>
      <c r="P87" s="59"/>
      <c r="Q87" s="25">
        <f>D8</f>
        <v>8000</v>
      </c>
      <c r="R87" s="13"/>
      <c r="S87" s="13"/>
      <c r="T87" s="13"/>
    </row>
    <row r="88" spans="15:20" ht="13.2">
      <c r="O88" s="67" t="s">
        <v>92</v>
      </c>
      <c r="P88" s="59"/>
      <c r="Q88" s="16">
        <v>43000</v>
      </c>
      <c r="R88" s="13"/>
      <c r="S88" s="13"/>
      <c r="T88" s="13"/>
    </row>
    <row r="89" spans="15:20" ht="13.2">
      <c r="O89" s="67" t="s">
        <v>93</v>
      </c>
      <c r="P89" s="59"/>
      <c r="Q89" s="13"/>
      <c r="R89" s="13"/>
      <c r="S89" s="13"/>
      <c r="T89" s="13"/>
    </row>
    <row r="90" spans="15:20" ht="13.2">
      <c r="O90" s="67" t="s">
        <v>94</v>
      </c>
      <c r="P90" s="59"/>
      <c r="Q90" s="13"/>
      <c r="R90" s="13"/>
      <c r="S90" s="13"/>
      <c r="T90" s="13"/>
    </row>
    <row r="91" spans="15:20" ht="13.2">
      <c r="O91" s="104" t="s">
        <v>95</v>
      </c>
      <c r="P91" s="59"/>
      <c r="Q91" s="24">
        <f t="shared" ref="Q91:T91" si="33">SUM(Q86:Q90)</f>
        <v>51000</v>
      </c>
      <c r="R91" s="24">
        <f t="shared" si="33"/>
        <v>0</v>
      </c>
      <c r="S91" s="24">
        <f t="shared" si="33"/>
        <v>30471.52</v>
      </c>
      <c r="T91" s="24">
        <f t="shared" si="33"/>
        <v>51820.668400000002</v>
      </c>
    </row>
    <row r="92" spans="15:20" ht="13.2">
      <c r="O92" s="108" t="s">
        <v>96</v>
      </c>
      <c r="P92" s="59"/>
      <c r="Q92" s="37">
        <f t="shared" ref="Q92:T92" si="34">Q84-Q91</f>
        <v>4500</v>
      </c>
      <c r="R92" s="38">
        <f t="shared" si="34"/>
        <v>53317.333333333343</v>
      </c>
      <c r="S92" s="38">
        <f t="shared" si="34"/>
        <v>71100.213333333333</v>
      </c>
      <c r="T92" s="38">
        <f t="shared" si="34"/>
        <v>120914.89293333335</v>
      </c>
    </row>
    <row r="93" spans="15:20" ht="13.2">
      <c r="O93" s="108" t="s">
        <v>97</v>
      </c>
      <c r="P93" s="59"/>
      <c r="Q93" s="37">
        <f>Q92</f>
        <v>4500</v>
      </c>
      <c r="R93" s="38">
        <f t="shared" ref="R93:T93" si="35">Q93+R92</f>
        <v>57817.333333333343</v>
      </c>
      <c r="S93" s="38">
        <f t="shared" si="35"/>
        <v>128917.54666666668</v>
      </c>
      <c r="T93" s="38">
        <f t="shared" si="35"/>
        <v>249832.43960000004</v>
      </c>
    </row>
  </sheetData>
  <mergeCells count="136">
    <mergeCell ref="O90:P90"/>
    <mergeCell ref="O91:P91"/>
    <mergeCell ref="O92:P92"/>
    <mergeCell ref="O93:P93"/>
    <mergeCell ref="I75:J75"/>
    <mergeCell ref="I76:J76"/>
    <mergeCell ref="I63:J63"/>
    <mergeCell ref="I64:J64"/>
    <mergeCell ref="I65:J65"/>
    <mergeCell ref="I66:J66"/>
    <mergeCell ref="I71:M72"/>
    <mergeCell ref="I73:J73"/>
    <mergeCell ref="I74:J74"/>
    <mergeCell ref="O87:P87"/>
    <mergeCell ref="O88:P88"/>
    <mergeCell ref="O89:P89"/>
    <mergeCell ref="I51:J51"/>
    <mergeCell ref="I52:J52"/>
    <mergeCell ref="O52:P52"/>
    <mergeCell ref="Q52:R52"/>
    <mergeCell ref="I53:J53"/>
    <mergeCell ref="Q53:R53"/>
    <mergeCell ref="Q54:R54"/>
    <mergeCell ref="I54:J54"/>
    <mergeCell ref="I55:J55"/>
    <mergeCell ref="I56:J56"/>
    <mergeCell ref="I57:J57"/>
    <mergeCell ref="I58:J58"/>
    <mergeCell ref="I59:J59"/>
    <mergeCell ref="I61:M62"/>
    <mergeCell ref="O53:P53"/>
    <mergeCell ref="O54:P54"/>
    <mergeCell ref="O55:P55"/>
    <mergeCell ref="Q55:R55"/>
    <mergeCell ref="O56:P56"/>
    <mergeCell ref="O57:P57"/>
    <mergeCell ref="O58:R58"/>
    <mergeCell ref="O72:R72"/>
    <mergeCell ref="O79:T79"/>
    <mergeCell ref="O80:P80"/>
    <mergeCell ref="O81:T81"/>
    <mergeCell ref="O82:P82"/>
    <mergeCell ref="O83:P83"/>
    <mergeCell ref="O84:P84"/>
    <mergeCell ref="O85:T85"/>
    <mergeCell ref="O86:P86"/>
    <mergeCell ref="I48:M49"/>
    <mergeCell ref="O48:U49"/>
    <mergeCell ref="I50:J50"/>
    <mergeCell ref="O50:P50"/>
    <mergeCell ref="Q50:R50"/>
    <mergeCell ref="O51:P51"/>
    <mergeCell ref="Q51:R51"/>
    <mergeCell ref="O70:P70"/>
    <mergeCell ref="O71:P71"/>
    <mergeCell ref="O62:U63"/>
    <mergeCell ref="O64:P64"/>
    <mergeCell ref="O65:U65"/>
    <mergeCell ref="O66:P66"/>
    <mergeCell ref="O67:U67"/>
    <mergeCell ref="O68:P68"/>
    <mergeCell ref="O69:U69"/>
    <mergeCell ref="O15:P15"/>
    <mergeCell ref="O16:P16"/>
    <mergeCell ref="O17:R17"/>
    <mergeCell ref="B9:D9"/>
    <mergeCell ref="I9:J9"/>
    <mergeCell ref="O9:P9"/>
    <mergeCell ref="B10:C10"/>
    <mergeCell ref="I10:J10"/>
    <mergeCell ref="I11:J11"/>
    <mergeCell ref="I13:L13"/>
    <mergeCell ref="E7:F7"/>
    <mergeCell ref="E8:G13"/>
    <mergeCell ref="E15:F15"/>
    <mergeCell ref="I8:J8"/>
    <mergeCell ref="O8:P8"/>
    <mergeCell ref="A1:S1"/>
    <mergeCell ref="B5:D6"/>
    <mergeCell ref="E5:G6"/>
    <mergeCell ref="I5:M6"/>
    <mergeCell ref="O5:S6"/>
    <mergeCell ref="B7:D7"/>
    <mergeCell ref="B8:C8"/>
    <mergeCell ref="B11:D11"/>
    <mergeCell ref="B12:C12"/>
    <mergeCell ref="B13:C13"/>
    <mergeCell ref="B15:C15"/>
    <mergeCell ref="O11:S12"/>
    <mergeCell ref="O14:P14"/>
    <mergeCell ref="B76:D76"/>
    <mergeCell ref="B77:D77"/>
    <mergeCell ref="B78:D78"/>
    <mergeCell ref="B66:G68"/>
    <mergeCell ref="B69:D69"/>
    <mergeCell ref="B70:D70"/>
    <mergeCell ref="B71:D71"/>
    <mergeCell ref="B72:D72"/>
    <mergeCell ref="B73:D73"/>
    <mergeCell ref="B74:D74"/>
    <mergeCell ref="B56:D56"/>
    <mergeCell ref="B57:D57"/>
    <mergeCell ref="B58:G58"/>
    <mergeCell ref="B59:G61"/>
    <mergeCell ref="B62:D62"/>
    <mergeCell ref="B63:D63"/>
    <mergeCell ref="B64:D64"/>
    <mergeCell ref="B65:D65"/>
    <mergeCell ref="B75:D75"/>
    <mergeCell ref="B45:D45"/>
    <mergeCell ref="B46:D46"/>
    <mergeCell ref="B47:G49"/>
    <mergeCell ref="B50:D50"/>
    <mergeCell ref="B51:D51"/>
    <mergeCell ref="B52:D52"/>
    <mergeCell ref="B53:D53"/>
    <mergeCell ref="B54:D54"/>
    <mergeCell ref="B55:D55"/>
    <mergeCell ref="B29:E29"/>
    <mergeCell ref="A31:M33"/>
    <mergeCell ref="B36:D36"/>
    <mergeCell ref="B37:G38"/>
    <mergeCell ref="B39:G40"/>
    <mergeCell ref="B41:D41"/>
    <mergeCell ref="B42:D42"/>
    <mergeCell ref="B43:D43"/>
    <mergeCell ref="B44:D44"/>
    <mergeCell ref="A17:M19"/>
    <mergeCell ref="B21:F22"/>
    <mergeCell ref="H21:M22"/>
    <mergeCell ref="B24:C24"/>
    <mergeCell ref="H24:I24"/>
    <mergeCell ref="B25:C25"/>
    <mergeCell ref="H25:I25"/>
    <mergeCell ref="B26:C26"/>
    <mergeCell ref="B27:C27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OUAKHAIR, Haitam</cp:lastModifiedBy>
  <dcterms:modified xsi:type="dcterms:W3CDTF">2026-05-28T08:55:35Z</dcterms:modified>
</cp:coreProperties>
</file>